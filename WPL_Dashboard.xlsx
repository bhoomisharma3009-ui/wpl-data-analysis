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Team Summary" sheetId="2" state="visible" r:id="rId4"/>
    <sheet name="Toss Analysis" sheetId="3" state="visible" r:id="rId5"/>
    <sheet name="Season Trend" sheetId="4" state="visible" r:id="rId6"/>
    <sheet name="Venue Summary" sheetId="5" state="visible" r:id="rId7"/>
    <sheet name="No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<sst xmlns="http://schemas.openxmlformats.org/spreadsheetml/2006/main" count="369" uniqueCount="101">
  <si>
    <t xml:space="preserve">WPL Matches - Raw Data</t>
  </si>
  <si>
    <t xml:space="preserve">match_id</t>
  </si>
  <si>
    <t xml:space="preserve">season</t>
  </si>
  <si>
    <t xml:space="preserve">date</t>
  </si>
  <si>
    <t xml:space="preserve">team1</t>
  </si>
  <si>
    <t xml:space="preserve">team2</t>
  </si>
  <si>
    <t xml:space="preserve">venue</t>
  </si>
  <si>
    <t xml:space="preserve">city</t>
  </si>
  <si>
    <t xml:space="preserve">toss_winner</t>
  </si>
  <si>
    <t xml:space="preserve">toss_decision</t>
  </si>
  <si>
    <t xml:space="preserve">winner</t>
  </si>
  <si>
    <t xml:space="preserve">win_by_runs</t>
  </si>
  <si>
    <t xml:space="preserve">win_by_wickets</t>
  </si>
  <si>
    <t xml:space="preserve">player_of_match</t>
  </si>
  <si>
    <t xml:space="preserve">2023-02-23</t>
  </si>
  <si>
    <t xml:space="preserve">Royal Challengers Bengaluru</t>
  </si>
  <si>
    <t xml:space="preserve">UP Warriorz</t>
  </si>
  <si>
    <t xml:space="preserve">M. Chinnaswamy Stadium</t>
  </si>
  <si>
    <t xml:space="preserve">Bengaluru</t>
  </si>
  <si>
    <t xml:space="preserve">bat</t>
  </si>
  <si>
    <t xml:space="preserve">Player_17</t>
  </si>
  <si>
    <t xml:space="preserve">2023-02-24</t>
  </si>
  <si>
    <t xml:space="preserve">Mumbai Indians</t>
  </si>
  <si>
    <t xml:space="preserve">Gujarat Giants</t>
  </si>
  <si>
    <t xml:space="preserve">Brabourne Stadium</t>
  </si>
  <si>
    <t xml:space="preserve">Mumbai</t>
  </si>
  <si>
    <t xml:space="preserve">field</t>
  </si>
  <si>
    <t xml:space="preserve">Player_25</t>
  </si>
  <si>
    <t xml:space="preserve">2023-02-25</t>
  </si>
  <si>
    <t xml:space="preserve">Player_4</t>
  </si>
  <si>
    <t xml:space="preserve">2023-02-26</t>
  </si>
  <si>
    <t xml:space="preserve">Player_2</t>
  </si>
  <si>
    <t xml:space="preserve">2023-02-28</t>
  </si>
  <si>
    <t xml:space="preserve">Delhi Capitals</t>
  </si>
  <si>
    <t xml:space="preserve">Arun Jaitley Stadium</t>
  </si>
  <si>
    <t xml:space="preserve">Delhi</t>
  </si>
  <si>
    <t xml:space="preserve">Player_19</t>
  </si>
  <si>
    <t xml:space="preserve">2023-03-01</t>
  </si>
  <si>
    <t xml:space="preserve">Player_8</t>
  </si>
  <si>
    <t xml:space="preserve">2023-03-02</t>
  </si>
  <si>
    <t xml:space="preserve">BRSABV Ekana Stadium</t>
  </si>
  <si>
    <t xml:space="preserve">Lucknow</t>
  </si>
  <si>
    <t xml:space="preserve">Player_12</t>
  </si>
  <si>
    <t xml:space="preserve">2023-03-04</t>
  </si>
  <si>
    <t xml:space="preserve">Player_21</t>
  </si>
  <si>
    <t xml:space="preserve">2023-03-05</t>
  </si>
  <si>
    <t xml:space="preserve">Player_22</t>
  </si>
  <si>
    <t xml:space="preserve">2023-03-07</t>
  </si>
  <si>
    <t xml:space="preserve">Player_9</t>
  </si>
  <si>
    <t xml:space="preserve">2023-03-08</t>
  </si>
  <si>
    <t xml:space="preserve">Player_16</t>
  </si>
  <si>
    <t xml:space="preserve">2023-03-10</t>
  </si>
  <si>
    <t xml:space="preserve">2024-02-23</t>
  </si>
  <si>
    <t xml:space="preserve">2024-02-24</t>
  </si>
  <si>
    <t xml:space="preserve">Player_20</t>
  </si>
  <si>
    <t xml:space="preserve">2024-02-25</t>
  </si>
  <si>
    <t xml:space="preserve">Player_18</t>
  </si>
  <si>
    <t xml:space="preserve">2024-02-26</t>
  </si>
  <si>
    <t xml:space="preserve">Player_10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</si>
  <si>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</si>
  <si>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</si>
  <si>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</si>
  <si>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</si>
  <si>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</si>
  <si>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2024-03-05</t>
  </si>
  <si>
    <t xml:space="preserve">Player_15</t>
  </si>
  <si>
    <t xml:space="preserve">2024-03-07</t>
  </si>
  <si>
    <t xml:space="preserve">Player_11</t>
  </si>
  <si>
    <t xml:space="preserve">2024-03-09</t>
  </si>
  <si>
    <t xml:space="preserve">2025-02-23</t>
  </si>
  <si>
    <t xml:space="preserve">Player_7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</si>
  <si>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</si>
  <si>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</si>
  <si>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</si>
  <si>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</si>
  <si>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</si>
  <si>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</si>
  <si>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</si>
  <si>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2025-03-04</t>
  </si>
  <si>
    <t xml:space="preserve">2025-03-05</t>
  </si>
  <si>
    <t xml:space="preserve">2025-03-06</t>
  </si>
  <si>
    <t xml:space="preserve">2025-03-08</t>
  </si>
  <si>
    <t xml:space="preserve">Team-wise Win Summary</t>
  </si>
  <si>
    <t xml:space="preserve">Team</t>
  </si>
  <si>
    <t xml:space="preserve">Total Wins</t>
  </si>
  <si>
    <t xml:space="preserve">Matches Played</t>
  </si>
  <si>
    <t xml:space="preserve">Win %</t>
  </si>
  <si>
    <t xml:space="preserve">Toss Impact Analysis</t>
  </si>
  <si>
    <t xml:space="preserve">Metric</t>
  </si>
  <si>
    <t xml:space="preserve">Count</t>
  </si>
  <si>
    <t xml:space="preserve">Toss Winner Won Match</t>
  </si>
  <si>
    <t xml:space="preserve">Toss Winner Lost Match</t>
  </si>
  <si>
    <t xml:space="preserve">Toss Decision</t>
  </si>
  <si>
    <t xml:space="preserve">Times Chosen</t>
  </si>
  <si>
    <t xml:space="preserve">Matches Played Per Season</t>
  </si>
  <si>
    <t xml:space="preserve">Season</t>
  </si>
  <si>
    <t xml:space="preserve">Matches Hosted Per Venue</t>
  </si>
  <si>
    <t xml:space="preserve">Venue</t>
  </si>
  <si>
    <t xml:space="preserve">Matches Hosted</t>
  </si>
  <si>
    <t xml:space="preserve">Data Source Notes</t>
  </si>
  <si>
    <t xml:space="preserve">This workbook uses a sample dataset with the same column structure as the real Kaggle WPL dataset (kaggle.com/datasets/sahiltailor/womens-premier-league-2023-2024-ball-by-ball). 2023 &amp; 2025 finals (Mumbai Indians) and 2024 final (RCB) reflect real results; other league-stage match outcomes are randomly generated for demo purposes. Replace 'Raw Data' with the real matches.csv (same headers) to make every number in this workbook reflect actual WPL results.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</si>
</sst>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Wins by Team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'Team Summary'!B3</c:f>
              <c:strCache>
                <c:ptCount val="1"/>
                <c:pt idx="0">
                  <c:v>Total Wins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'Team Summary'!$A$4:$A$8</c:f>
              <c:strCache>
                <c:ptCount val="5"/>
                <c:pt idx="0">
                  <c:v>Delhi Capitals</c:v>
                </c:pt>
                <c:pt idx="1">
                  <c:v>Gujarat Giants</c:v>
                </c:pt>
                <c:pt idx="2">
                  <c:v>Mumbai Indians</c:v>
                </c:pt>
                <c:pt idx="3">
                  <c:v>Royal Challengers Bengaluru</c:v>
                </c:pt>
                <c:pt idx="4">
                  <c:v>UP Warriorz</c:v>
                </c:pt>
              </c:strCache>
            </c:strRef>
          </c:cat>
          <c:val>
            <c:numRef>
              <c:f>'Team Summary'!$B$4:$B$8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</c:numCache>
            </c:numRef>
          </c:val>
        </c:ser>
        <c:gapWidth val="150"/>
        <c:overlap val="0"/>
        <c:axId val="72423513"/>
        <c:axId val="85582715"/>
      </c:barChart>
      <c:catAx>
        <c:axId val="72423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Team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82715"/>
        <c:crosses val="autoZero"/>
        <c:auto val="1"/>
        <c:lblAlgn val="ctr"/>
        <c:lblOffset val="100"/>
        <c:noMultiLvlLbl val="0"/>
      </c:catAx>
      <c:valAx>
        <c:axId val="85582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Wins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23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Toss Decision: Bat vs Field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'Toss Analysis'!B7</c:f>
              <c:strCache>
                <c:ptCount val="1"/>
                <c:pt idx="0">
                  <c:v>Times Chosen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'Toss Analysis'!$A$8:$A$9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Analysis'!$B$8:$B$9</c:f>
              <c:numCache>
                <c:formatCode>General</c:formatCode>
                <c:ptCount val="2"/>
                <c:pt idx="0">
                  <c:v>16</c:v>
                </c:pt>
                <c:pt idx="1">
                  <c:v>20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Toss Winner Won vs Lost Match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'Toss Analysis'!B3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'Toss Analysis'!$A$4:$A$5</c:f>
              <c:strCache>
                <c:ptCount val="2"/>
                <c:pt idx="0">
                  <c:v>Toss Winner Won Match</c:v>
                </c:pt>
                <c:pt idx="1">
                  <c:v>Toss Winner Lost Match</c:v>
                </c:pt>
              </c:strCache>
            </c:strRef>
          </c:cat>
          <c:val>
            <c:numRef>
              <c:f>'Toss Analysis'!$B$4:$B$5</c:f>
              <c:numCache>
                <c:formatCode>General</c:formatCode>
                <c:ptCount val="2"/>
                <c:pt idx="0">
                  <c:v>17</c:v>
                </c:pt>
                <c:pt idx="1">
                  <c:v>19</c:v>
                </c:pt>
              </c:numCache>
            </c:numRef>
          </c:val>
        </c:ser>
        <c:gapWidth val="150"/>
        <c:overlap val="0"/>
        <c:axId val="98541271"/>
        <c:axId val="10520879"/>
      </c:barChart>
      <c:catAx>
        <c:axId val="9854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20879"/>
        <c:crosses val="autoZero"/>
        <c:auto val="1"/>
        <c:lblAlgn val="ctr"/>
        <c:lblOffset val="100"/>
        <c:noMultiLvlLbl val="0"/>
      </c:catAx>
      <c:valAx>
        <c:axId val="10520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41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Played Per Season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'Season Trend'!B3</c:f>
              <c:strCache>
                <c:ptCount val="1"/>
                <c:pt idx="0">
                  <c:v>Matches Played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'Season Trend'!$A$4:$A$6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'Season Trend'!$B$4:$B$6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gapWidth val="150"/>
        <c:overlap val="0"/>
        <c:axId val="93138022"/>
        <c:axId val="48704513"/>
      </c:barChart>
      <c:catAx>
        <c:axId val="93138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Season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04513"/>
        <c:crosses val="autoZero"/>
        <c:auto val="1"/>
        <c:lblAlgn val="ctr"/>
        <c:lblOffset val="100"/>
        <c:noMultiLvlLbl val="0"/>
      </c:catAx>
      <c:valAx>
        <c:axId val="48704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38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Matches Hosted per 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'Venue Summary'!B3</c:f>
              <c:strCache>
                <c:ptCount val="1"/>
                <c:pt idx="0">
                  <c:v>Matches Hosted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'Venue Summary'!$A$4:$A$7</c:f>
              <c:strCache>
                <c:ptCount val="4"/>
                <c:pt idx="0">
                  <c:v>Arun Jaitley Stadium</c:v>
                </c:pt>
                <c:pt idx="1">
                  <c:v>BRSABV Ekana Stadium</c:v>
                </c:pt>
                <c:pt idx="2">
                  <c:v>Brabourne Stadium</c:v>
                </c:pt>
                <c:pt idx="3">
                  <c:v>M. Chinnaswamy Stadium</c:v>
                </c:pt>
              </c:strCache>
            </c:strRef>
          </c:cat>
          <c:val>
            <c:numRef>
              <c:f>'Venue Summary'!$B$4:$B$7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15</c:v>
                </c:pt>
                <c:pt idx="3">
                  <c:v>9</c:v>
                </c:pt>
              </c:numCache>
            </c:numRef>
          </c:val>
        </c:ser>
        <c:gapWidth val="150"/>
        <c:overlap val="0"/>
        <c:axId val="68414697"/>
        <c:axId val="60120402"/>
      </c:barChart>
      <c:catAx>
        <c:axId val="684146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20402"/>
        <c:crosses val="autoZero"/>
        <c:auto val="1"/>
        <c:lblAlgn val="ctr"/>
        <c:lblOffset val="100"/>
        <c:noMultiLvlLbl val="0"/>
      </c:catAx>
      <c:valAx>
        <c:axId val="60120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Matches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146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14</xdr:col>
      <xdr:colOff>255960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681408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10</xdr:col>
      <xdr:colOff>39240</xdr:colOff>
      <xdr:row>16</xdr:row>
      <xdr:rowOff>182520</xdr:rowOff>
    </xdr:to>
    <xdr:graphicFrame>
      <xdr:nvGraphicFramePr>
        <xdr:cNvPr id="1" name="Chart 1"/>
        <xdr:cNvGraphicFramePr/>
      </xdr:nvGraphicFramePr>
      <xdr:xfrm>
        <a:off x="399492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12</xdr:row>
      <xdr:rowOff>160560</xdr:rowOff>
    </xdr:from>
    <xdr:to>
      <xdr:col>10</xdr:col>
      <xdr:colOff>39240</xdr:colOff>
      <xdr:row>27</xdr:row>
      <xdr:rowOff>182880</xdr:rowOff>
    </xdr:to>
    <xdr:graphicFrame>
      <xdr:nvGraphicFramePr>
        <xdr:cNvPr id="2" name="Chart 2"/>
        <xdr:cNvGraphicFramePr/>
      </xdr:nvGraphicFramePr>
      <xdr:xfrm>
        <a:off x="3994920" y="2476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255960</xdr:colOff>
      <xdr:row>18</xdr:row>
      <xdr:rowOff>161640</xdr:rowOff>
    </xdr:to>
    <xdr:graphicFrame>
      <xdr:nvGraphicFramePr>
        <xdr:cNvPr id="3" name="Chart 1"/>
        <xdr:cNvGraphicFramePr/>
      </xdr:nvGraphicFramePr>
      <xdr:xfrm>
        <a:off x="31489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256320</xdr:colOff>
      <xdr:row>18</xdr:row>
      <xdr:rowOff>161640</xdr:rowOff>
    </xdr:to>
    <xdr:graphicFrame>
      <xdr:nvGraphicFramePr>
        <xdr:cNvPr id="4" name="Chart 1"/>
        <xdr:cNvGraphicFramePr/>
      </xdr:nvGraphicFramePr>
      <xdr:xfrm>
        <a:off x="427680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0" t="n">
        <v>1</v>
      </c>
      <c r="B4" s="0" t="n">
        <v>2023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18</v>
      </c>
      <c r="H4" s="0" t="s">
        <v>16</v>
      </c>
      <c r="I4" s="0" t="s">
        <v>19</v>
      </c>
      <c r="J4" s="0" t="s">
        <v>15</v>
      </c>
      <c r="K4" s="0" t="n">
        <v>19</v>
      </c>
      <c r="L4" s="0" t="n">
        <v>0</v>
      </c>
      <c r="M4" s="0" t="s">
        <v>20</v>
      </c>
    </row>
    <row r="5" customFormat="false" ht="15" hidden="false" customHeight="false" outlineLevel="0" collapsed="false">
      <c r="A5" s="0" t="n">
        <v>2</v>
      </c>
      <c r="B5" s="0" t="n">
        <v>2023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22</v>
      </c>
      <c r="I5" s="0" t="s">
        <v>26</v>
      </c>
      <c r="J5" s="0" t="s">
        <v>22</v>
      </c>
      <c r="K5" s="0" t="n">
        <v>0</v>
      </c>
      <c r="L5" s="0" t="n">
        <v>1</v>
      </c>
      <c r="M5" s="0" t="s">
        <v>27</v>
      </c>
    </row>
    <row r="6" customFormat="false" ht="15" hidden="false" customHeight="false" outlineLevel="0" collapsed="false">
      <c r="A6" s="0" t="n">
        <v>3</v>
      </c>
      <c r="B6" s="0" t="n">
        <v>2023</v>
      </c>
      <c r="C6" s="0" t="s">
        <v>28</v>
      </c>
      <c r="D6" s="0" t="s">
        <v>22</v>
      </c>
      <c r="E6" s="0" t="s">
        <v>16</v>
      </c>
      <c r="F6" s="0" t="s">
        <v>24</v>
      </c>
      <c r="G6" s="0" t="s">
        <v>25</v>
      </c>
      <c r="H6" s="0" t="s">
        <v>16</v>
      </c>
      <c r="I6" s="0" t="s">
        <v>26</v>
      </c>
      <c r="J6" s="0" t="s">
        <v>22</v>
      </c>
      <c r="K6" s="0" t="n">
        <v>26</v>
      </c>
      <c r="L6" s="0" t="n">
        <v>0</v>
      </c>
      <c r="M6" s="0" t="s">
        <v>29</v>
      </c>
    </row>
    <row r="7" customFormat="false" ht="15" hidden="false" customHeight="false" outlineLevel="0" collapsed="false">
      <c r="A7" s="0" t="n">
        <v>4</v>
      </c>
      <c r="B7" s="0" t="n">
        <v>2023</v>
      </c>
      <c r="C7" s="0" t="s">
        <v>30</v>
      </c>
      <c r="D7" s="0" t="s">
        <v>15</v>
      </c>
      <c r="E7" s="0" t="s">
        <v>23</v>
      </c>
      <c r="F7" s="0" t="s">
        <v>17</v>
      </c>
      <c r="G7" s="0" t="s">
        <v>18</v>
      </c>
      <c r="H7" s="0" t="s">
        <v>23</v>
      </c>
      <c r="I7" s="0" t="s">
        <v>19</v>
      </c>
      <c r="J7" s="0" t="s">
        <v>15</v>
      </c>
      <c r="K7" s="0" t="n">
        <v>0</v>
      </c>
      <c r="L7" s="0" t="n">
        <v>5</v>
      </c>
      <c r="M7" s="0" t="s">
        <v>31</v>
      </c>
    </row>
    <row r="8" customFormat="false" ht="15" hidden="false" customHeight="false" outlineLevel="0" collapsed="false">
      <c r="A8" s="0" t="n">
        <v>5</v>
      </c>
      <c r="B8" s="0" t="n">
        <v>2023</v>
      </c>
      <c r="C8" s="0" t="s">
        <v>32</v>
      </c>
      <c r="D8" s="0" t="s">
        <v>33</v>
      </c>
      <c r="E8" s="0" t="s">
        <v>16</v>
      </c>
      <c r="F8" s="0" t="s">
        <v>34</v>
      </c>
      <c r="G8" s="0" t="s">
        <v>35</v>
      </c>
      <c r="H8" s="0" t="s">
        <v>33</v>
      </c>
      <c r="I8" s="0" t="s">
        <v>26</v>
      </c>
      <c r="J8" s="0" t="s">
        <v>33</v>
      </c>
      <c r="K8" s="0" t="n">
        <v>0</v>
      </c>
      <c r="L8" s="0" t="n">
        <v>6</v>
      </c>
      <c r="M8" s="0" t="s">
        <v>36</v>
      </c>
    </row>
    <row r="9" customFormat="false" ht="15" hidden="false" customHeight="false" outlineLevel="0" collapsed="false">
      <c r="A9" s="0" t="n">
        <v>6</v>
      </c>
      <c r="B9" s="0" t="n">
        <v>2023</v>
      </c>
      <c r="C9" s="0" t="s">
        <v>37</v>
      </c>
      <c r="D9" s="0" t="s">
        <v>33</v>
      </c>
      <c r="E9" s="0" t="s">
        <v>23</v>
      </c>
      <c r="F9" s="0" t="s">
        <v>34</v>
      </c>
      <c r="G9" s="0" t="s">
        <v>35</v>
      </c>
      <c r="H9" s="0" t="s">
        <v>33</v>
      </c>
      <c r="I9" s="0" t="s">
        <v>19</v>
      </c>
      <c r="J9" s="0" t="s">
        <v>23</v>
      </c>
      <c r="K9" s="0" t="n">
        <v>0</v>
      </c>
      <c r="L9" s="0" t="n">
        <v>2</v>
      </c>
      <c r="M9" s="0" t="s">
        <v>38</v>
      </c>
    </row>
    <row r="10" customFormat="false" ht="15" hidden="false" customHeight="false" outlineLevel="0" collapsed="false">
      <c r="A10" s="0" t="n">
        <v>7</v>
      </c>
      <c r="B10" s="0" t="n">
        <v>2023</v>
      </c>
      <c r="C10" s="0" t="s">
        <v>39</v>
      </c>
      <c r="D10" s="0" t="s">
        <v>16</v>
      </c>
      <c r="E10" s="0" t="s">
        <v>23</v>
      </c>
      <c r="F10" s="0" t="s">
        <v>40</v>
      </c>
      <c r="G10" s="0" t="s">
        <v>41</v>
      </c>
      <c r="H10" s="0" t="s">
        <v>23</v>
      </c>
      <c r="I10" s="0" t="s">
        <v>26</v>
      </c>
      <c r="J10" s="0" t="s">
        <v>16</v>
      </c>
      <c r="K10" s="0" t="n">
        <v>0</v>
      </c>
      <c r="L10" s="0" t="n">
        <v>3</v>
      </c>
      <c r="M10" s="0" t="s">
        <v>42</v>
      </c>
    </row>
    <row r="11" customFormat="false" ht="15" hidden="false" customHeight="false" outlineLevel="0" collapsed="false">
      <c r="A11" s="0" t="n">
        <v>8</v>
      </c>
      <c r="B11" s="0" t="n">
        <v>2023</v>
      </c>
      <c r="C11" s="0" t="s">
        <v>43</v>
      </c>
      <c r="D11" s="0" t="s">
        <v>33</v>
      </c>
      <c r="E11" s="0" t="s">
        <v>15</v>
      </c>
      <c r="F11" s="0" t="s">
        <v>34</v>
      </c>
      <c r="G11" s="0" t="s">
        <v>35</v>
      </c>
      <c r="H11" s="0" t="s">
        <v>33</v>
      </c>
      <c r="I11" s="0" t="s">
        <v>26</v>
      </c>
      <c r="J11" s="0" t="s">
        <v>15</v>
      </c>
      <c r="K11" s="0" t="n">
        <v>43</v>
      </c>
      <c r="L11" s="0" t="n">
        <v>0</v>
      </c>
      <c r="M11" s="0" t="s">
        <v>44</v>
      </c>
    </row>
    <row r="12" customFormat="false" ht="15" hidden="false" customHeight="false" outlineLevel="0" collapsed="false">
      <c r="A12" s="0" t="n">
        <v>9</v>
      </c>
      <c r="B12" s="0" t="n">
        <v>2023</v>
      </c>
      <c r="C12" s="0" t="s">
        <v>45</v>
      </c>
      <c r="D12" s="0" t="s">
        <v>22</v>
      </c>
      <c r="E12" s="0" t="s">
        <v>33</v>
      </c>
      <c r="F12" s="0" t="s">
        <v>24</v>
      </c>
      <c r="G12" s="0" t="s">
        <v>25</v>
      </c>
      <c r="H12" s="0" t="s">
        <v>22</v>
      </c>
      <c r="I12" s="0" t="s">
        <v>19</v>
      </c>
      <c r="J12" s="0" t="s">
        <v>22</v>
      </c>
      <c r="K12" s="0" t="n">
        <v>0</v>
      </c>
      <c r="L12" s="0" t="n">
        <v>4</v>
      </c>
      <c r="M12" s="0" t="s">
        <v>46</v>
      </c>
    </row>
    <row r="13" customFormat="false" ht="15" hidden="false" customHeight="false" outlineLevel="0" collapsed="false">
      <c r="A13" s="0" t="n">
        <v>10</v>
      </c>
      <c r="B13" s="0" t="n">
        <v>2023</v>
      </c>
      <c r="C13" s="0" t="s">
        <v>47</v>
      </c>
      <c r="D13" s="0" t="s">
        <v>22</v>
      </c>
      <c r="E13" s="0" t="s">
        <v>15</v>
      </c>
      <c r="F13" s="0" t="s">
        <v>24</v>
      </c>
      <c r="G13" s="0" t="s">
        <v>25</v>
      </c>
      <c r="H13" s="0" t="s">
        <v>22</v>
      </c>
      <c r="I13" s="0" t="s">
        <v>19</v>
      </c>
      <c r="J13" s="0" t="s">
        <v>15</v>
      </c>
      <c r="K13" s="0" t="n">
        <v>0</v>
      </c>
      <c r="L13" s="0" t="n">
        <v>7</v>
      </c>
      <c r="M13" s="0" t="s">
        <v>48</v>
      </c>
    </row>
    <row r="14" customFormat="false" ht="15" hidden="false" customHeight="false" outlineLevel="0" collapsed="false">
      <c r="A14" s="0" t="n">
        <v>11</v>
      </c>
      <c r="B14" s="0" t="n">
        <v>2023</v>
      </c>
      <c r="C14" s="0" t="s">
        <v>49</v>
      </c>
      <c r="D14" s="0" t="s">
        <v>15</v>
      </c>
      <c r="E14" s="0" t="s">
        <v>16</v>
      </c>
      <c r="F14" s="0" t="s">
        <v>17</v>
      </c>
      <c r="G14" s="0" t="s">
        <v>18</v>
      </c>
      <c r="H14" s="0" t="s">
        <v>15</v>
      </c>
      <c r="I14" s="0" t="s">
        <v>26</v>
      </c>
      <c r="J14" s="0" t="s">
        <v>15</v>
      </c>
      <c r="K14" s="0" t="n">
        <v>25</v>
      </c>
      <c r="L14" s="0" t="n">
        <v>0</v>
      </c>
      <c r="M14" s="0" t="s">
        <v>50</v>
      </c>
    </row>
    <row r="15" customFormat="false" ht="15" hidden="false" customHeight="false" outlineLevel="0" collapsed="false">
      <c r="A15" s="0" t="n">
        <v>12</v>
      </c>
      <c r="B15" s="0" t="n">
        <v>2023</v>
      </c>
      <c r="C15" s="0" t="s">
        <v>51</v>
      </c>
      <c r="D15" s="0" t="s">
        <v>22</v>
      </c>
      <c r="E15" s="0" t="s">
        <v>33</v>
      </c>
      <c r="F15" s="0" t="s">
        <v>24</v>
      </c>
      <c r="G15" s="0" t="s">
        <v>25</v>
      </c>
      <c r="H15" s="0" t="s">
        <v>22</v>
      </c>
      <c r="I15" s="0" t="s">
        <v>26</v>
      </c>
      <c r="J15" s="0" t="s">
        <v>22</v>
      </c>
      <c r="K15" s="0" t="n">
        <v>0</v>
      </c>
      <c r="L15" s="0" t="n">
        <v>6</v>
      </c>
      <c r="M15" s="0" t="s">
        <v>44</v>
      </c>
    </row>
    <row r="16" customFormat="false" ht="15" hidden="false" customHeight="false" outlineLevel="0" collapsed="false">
      <c r="A16" s="0" t="n">
        <v>13</v>
      </c>
      <c r="B16" s="0" t="n">
        <v>2024</v>
      </c>
      <c r="C16" s="0" t="s">
        <v>52</v>
      </c>
      <c r="D16" s="0" t="s">
        <v>22</v>
      </c>
      <c r="E16" s="0" t="s">
        <v>33</v>
      </c>
      <c r="F16" s="0" t="s">
        <v>24</v>
      </c>
      <c r="G16" s="0" t="s">
        <v>25</v>
      </c>
      <c r="H16" s="0" t="s">
        <v>33</v>
      </c>
      <c r="I16" s="0" t="s">
        <v>26</v>
      </c>
      <c r="J16" s="0" t="s">
        <v>22</v>
      </c>
      <c r="K16" s="0" t="n">
        <v>37</v>
      </c>
      <c r="L16" s="0" t="n">
        <v>0</v>
      </c>
      <c r="M16" s="0" t="s">
        <v>50</v>
      </c>
    </row>
    <row r="17" customFormat="false" ht="15" hidden="false" customHeight="false" outlineLevel="0" collapsed="false">
      <c r="A17" s="0" t="n">
        <v>14</v>
      </c>
      <c r="B17" s="0" t="n">
        <v>2024</v>
      </c>
      <c r="C17" s="0" t="s">
        <v>53</v>
      </c>
      <c r="D17" s="0" t="s">
        <v>33</v>
      </c>
      <c r="E17" s="0" t="s">
        <v>16</v>
      </c>
      <c r="F17" s="0" t="s">
        <v>34</v>
      </c>
      <c r="G17" s="0" t="s">
        <v>35</v>
      </c>
      <c r="H17" s="0" t="s">
        <v>33</v>
      </c>
      <c r="I17" s="0" t="s">
        <v>19</v>
      </c>
      <c r="J17" s="0" t="s">
        <v>33</v>
      </c>
      <c r="K17" s="0" t="n">
        <v>32</v>
      </c>
      <c r="L17" s="0" t="n">
        <v>0</v>
      </c>
      <c r="M17" s="0" t="s">
        <v>54</v>
      </c>
    </row>
    <row r="18" customFormat="false" ht="15" hidden="false" customHeight="false" outlineLevel="0" collapsed="false">
      <c r="A18" s="0" t="n">
        <v>15</v>
      </c>
      <c r="B18" s="0" t="n">
        <v>2024</v>
      </c>
      <c r="C18" s="0" t="s">
        <v>55</v>
      </c>
      <c r="D18" s="0" t="s">
        <v>22</v>
      </c>
      <c r="E18" s="0" t="s">
        <v>23</v>
      </c>
      <c r="F18" s="0" t="s">
        <v>24</v>
      </c>
      <c r="G18" s="0" t="s">
        <v>25</v>
      </c>
      <c r="H18" s="0" t="s">
        <v>23</v>
      </c>
      <c r="I18" s="0" t="s">
        <v>26</v>
      </c>
      <c r="J18" s="0" t="s">
        <v>23</v>
      </c>
      <c r="K18" s="0" t="n">
        <v>0</v>
      </c>
      <c r="L18" s="0" t="n">
        <v>5</v>
      </c>
      <c r="M18" s="0" t="s">
        <v>56</v>
      </c>
    </row>
    <row r="19" customFormat="false" ht="15" hidden="false" customHeight="false" outlineLevel="0" collapsed="false">
      <c r="A19" s="0" t="n">
        <v>16</v>
      </c>
      <c r="B19" s="0" t="n">
        <v>2024</v>
      </c>
      <c r="C19" s="0" t="s">
        <v>57</v>
      </c>
      <c r="D19" s="0" t="s">
        <v>15</v>
      </c>
      <c r="E19" s="0" t="s">
        <v>23</v>
      </c>
      <c r="F19" s="0" t="s">
        <v>17</v>
      </c>
      <c r="G19" s="0" t="s">
        <v>18</v>
      </c>
      <c r="H19" s="0" t="s">
        <v>15</v>
      </c>
      <c r="I19" s="0" t="s">
        <v>26</v>
      </c>
      <c r="J19" s="0" t="s">
        <v>23</v>
      </c>
      <c r="K19" s="0" t="n">
        <v>0</v>
      </c>
      <c r="L19" s="0" t="n">
        <v>2</v>
      </c>
      <c r="M19" s="0" t="s">
        <v>58</v>
      </c>
    </row>
    <row r="20" customFormat="false" ht="15" hidden="false" customHeight="false" outlineLevel="0" collapsed="false">
      <c r="A20" s="0" t="n">
        <v>17</v>
      </c>
      <c r="B20" s="0" t="n">
        <v>2024</v>
      </c>
      <c r="C20" s="0" t="s">
        <v>59</v>
      </c>
      <c r="D20" s="0" t="s">
        <v>16</v>
      </c>
      <c r="E20" s="0" t="s">
        <v>23</v>
      </c>
      <c r="F20" s="0" t="s">
        <v>40</v>
      </c>
      <c r="G20" s="0" t="s">
        <v>41</v>
      </c>
      <c r="H20" s="0" t="s">
        <v>16</v>
      </c>
      <c r="I20" s="0" t="s">
        <v>26</v>
      </c>
      <c r="J20" s="0" t="s">
        <v>16</v>
      </c>
      <c r="K20" s="0" t="n">
        <v>0</v>
      </c>
      <c r="L20" s="0" t="n">
        <v>3</v>
      </c>
      <c r="M20" s="0" t="s">
        <v>20</v>
      </c>
    </row>
    <row r="21" customFormat="false" ht="15" hidden="false" customHeight="false" outlineLevel="0" collapsed="false">
      <c r="A21" s="0" t="n">
        <v>18</v>
      </c>
      <c r="B21" s="0" t="n">
        <v>2024</v>
      </c>
      <c r="C21" s="0" t="s">
        <v>60</v>
      </c>
      <c r="D21" s="0" t="s">
        <v>33</v>
      </c>
      <c r="E21" s="0" t="s">
        <v>23</v>
      </c>
      <c r="F21" s="0" t="s">
        <v>34</v>
      </c>
      <c r="G21" s="0" t="s">
        <v>35</v>
      </c>
      <c r="H21" s="0" t="s">
        <v>23</v>
      </c>
      <c r="I21" s="0" t="s">
        <v>19</v>
      </c>
      <c r="J21" s="0" t="s">
        <v>33</v>
      </c>
      <c r="K21" s="0" t="n">
        <v>39</v>
      </c>
      <c r="L21" s="0" t="n">
        <v>0</v>
      </c>
      <c r="M21" s="0" t="s">
        <v>27</v>
      </c>
    </row>
    <row r="22" customFormat="false" ht="15" hidden="false" customHeight="false" outlineLevel="0" collapsed="false">
      <c r="A22" s="0" t="n">
        <v>19</v>
      </c>
      <c r="B22" s="0" t="n">
        <v>2024</v>
      </c>
      <c r="C22" s="0" t="s">
        <v>61</v>
      </c>
      <c r="D22" s="0" t="s">
        <v>22</v>
      </c>
      <c r="E22" s="0" t="s">
        <v>15</v>
      </c>
      <c r="F22" s="0" t="s">
        <v>24</v>
      </c>
      <c r="G22" s="0" t="s">
        <v>25</v>
      </c>
      <c r="H22" s="0" t="s">
        <v>15</v>
      </c>
      <c r="I22" s="0" t="s">
        <v>26</v>
      </c>
      <c r="J22" s="0" t="s">
        <v>22</v>
      </c>
      <c r="K22" s="0" t="n">
        <v>0</v>
      </c>
      <c r="L22" s="0" t="n">
        <v>5</v>
      </c>
      <c r="M22" s="0" t="s">
        <v>38</v>
      </c>
    </row>
    <row r="23" customFormat="false" ht="15" hidden="false" customHeight="false" outlineLevel="0" collapsed="false">
      <c r="A23" s="0" t="n">
        <v>20</v>
      </c>
      <c r="B23" s="0" t="n">
        <v>2024</v>
      </c>
      <c r="C23" s="0" t="s">
        <v>62</v>
      </c>
      <c r="D23" s="0" t="s">
        <v>33</v>
      </c>
      <c r="E23" s="0" t="s">
        <v>15</v>
      </c>
      <c r="F23" s="0" t="s">
        <v>34</v>
      </c>
      <c r="G23" s="0" t="s">
        <v>35</v>
      </c>
      <c r="H23" s="0" t="s">
        <v>33</v>
      </c>
      <c r="I23" s="0" t="s">
        <v>19</v>
      </c>
      <c r="J23" s="0" t="s">
        <v>33</v>
      </c>
      <c r="K23" s="0" t="n">
        <v>0</v>
      </c>
      <c r="L23" s="0" t="n">
        <v>2</v>
      </c>
      <c r="M23" s="0" t="s">
        <v>27</v>
      </c>
    </row>
    <row r="24" customFormat="false" ht="15" hidden="false" customHeight="false" outlineLevel="0" collapsed="false">
      <c r="A24" s="0" t="n">
        <v>21</v>
      </c>
      <c r="B24" s="0" t="n">
        <v>2024</v>
      </c>
      <c r="C24" s="0" t="s">
        <v>63</v>
      </c>
      <c r="D24" s="0" t="s">
        <v>22</v>
      </c>
      <c r="E24" s="0" t="s">
        <v>16</v>
      </c>
      <c r="F24" s="0" t="s">
        <v>24</v>
      </c>
      <c r="G24" s="0" t="s">
        <v>25</v>
      </c>
      <c r="H24" s="0" t="s">
        <v>22</v>
      </c>
      <c r="I24" s="0" t="s">
        <v>26</v>
      </c>
      <c r="J24" s="0" t="s">
        <v>16</v>
      </c>
      <c r="K24" s="0" t="n">
        <v>21</v>
      </c>
      <c r="L24" s="0" t="n">
        <v>0</v>
      </c>
      <c r="M24" s="0" t="s">
        <v>20</v>
      </c>
    </row>
    <row r="25" customFormat="false" ht="15" hidden="false" customHeight="false" outlineLevel="0" collapsed="false">
      <c r="A25" s="0" t="n">
        <v>22</v>
      </c>
      <c r="B25" s="0" t="n">
        <v>2024</v>
      </c>
      <c r="C25" s="0" t="s">
        <v>64</v>
      </c>
      <c r="D25" s="0" t="s">
        <v>15</v>
      </c>
      <c r="E25" s="0" t="s">
        <v>16</v>
      </c>
      <c r="F25" s="0" t="s">
        <v>17</v>
      </c>
      <c r="G25" s="0" t="s">
        <v>18</v>
      </c>
      <c r="H25" s="0" t="s">
        <v>15</v>
      </c>
      <c r="I25" s="0" t="s">
        <v>19</v>
      </c>
      <c r="J25" s="0" t="s">
        <v>16</v>
      </c>
      <c r="K25" s="0" t="n">
        <v>0</v>
      </c>
      <c r="L25" s="0" t="n">
        <v>6</v>
      </c>
      <c r="M25" s="0" t="s">
        <v>65</v>
      </c>
    </row>
    <row r="26" customFormat="false" ht="15" hidden="false" customHeight="false" outlineLevel="0" collapsed="false">
      <c r="A26" s="0" t="n">
        <v>23</v>
      </c>
      <c r="B26" s="0" t="n">
        <v>2024</v>
      </c>
      <c r="C26" s="0" t="s">
        <v>66</v>
      </c>
      <c r="D26" s="0" t="s">
        <v>22</v>
      </c>
      <c r="E26" s="0" t="s">
        <v>23</v>
      </c>
      <c r="F26" s="0" t="s">
        <v>24</v>
      </c>
      <c r="G26" s="0" t="s">
        <v>25</v>
      </c>
      <c r="H26" s="0" t="s">
        <v>22</v>
      </c>
      <c r="I26" s="0" t="s">
        <v>26</v>
      </c>
      <c r="J26" s="0" t="s">
        <v>22</v>
      </c>
      <c r="K26" s="0" t="n">
        <v>7</v>
      </c>
      <c r="L26" s="0" t="n">
        <v>0</v>
      </c>
      <c r="M26" s="0" t="s">
        <v>67</v>
      </c>
    </row>
    <row r="27" customFormat="false" ht="15" hidden="false" customHeight="false" outlineLevel="0" collapsed="false">
      <c r="A27" s="0" t="n">
        <v>24</v>
      </c>
      <c r="B27" s="0" t="n">
        <v>2024</v>
      </c>
      <c r="C27" s="0" t="s">
        <v>68</v>
      </c>
      <c r="D27" s="0" t="s">
        <v>15</v>
      </c>
      <c r="E27" s="0" t="s">
        <v>33</v>
      </c>
      <c r="F27" s="0" t="s">
        <v>17</v>
      </c>
      <c r="G27" s="0" t="s">
        <v>18</v>
      </c>
      <c r="H27" s="0" t="s">
        <v>15</v>
      </c>
      <c r="I27" s="0" t="s">
        <v>26</v>
      </c>
      <c r="J27" s="0" t="s">
        <v>15</v>
      </c>
      <c r="K27" s="0" t="n">
        <v>0</v>
      </c>
      <c r="L27" s="0" t="n">
        <v>3</v>
      </c>
      <c r="M27" s="0" t="s">
        <v>36</v>
      </c>
    </row>
    <row r="28" customFormat="false" ht="15" hidden="false" customHeight="false" outlineLevel="0" collapsed="false">
      <c r="A28" s="0" t="n">
        <v>25</v>
      </c>
      <c r="B28" s="0" t="n">
        <v>2025</v>
      </c>
      <c r="C28" s="0" t="s">
        <v>69</v>
      </c>
      <c r="D28" s="0" t="s">
        <v>15</v>
      </c>
      <c r="E28" s="0" t="s">
        <v>16</v>
      </c>
      <c r="F28" s="0" t="s">
        <v>17</v>
      </c>
      <c r="G28" s="0" t="s">
        <v>18</v>
      </c>
      <c r="H28" s="0" t="s">
        <v>16</v>
      </c>
      <c r="I28" s="0" t="s">
        <v>19</v>
      </c>
      <c r="J28" s="0" t="s">
        <v>16</v>
      </c>
      <c r="K28" s="0" t="n">
        <v>0</v>
      </c>
      <c r="L28" s="0" t="n">
        <v>8</v>
      </c>
      <c r="M28" s="0" t="s">
        <v>70</v>
      </c>
    </row>
    <row r="29" customFormat="false" ht="15" hidden="false" customHeight="false" outlineLevel="0" collapsed="false">
      <c r="A29" s="0" t="n">
        <v>26</v>
      </c>
      <c r="B29" s="0" t="n">
        <v>2025</v>
      </c>
      <c r="C29" s="0" t="s">
        <v>71</v>
      </c>
      <c r="D29" s="0" t="s">
        <v>22</v>
      </c>
      <c r="E29" s="0" t="s">
        <v>16</v>
      </c>
      <c r="F29" s="0" t="s">
        <v>24</v>
      </c>
      <c r="G29" s="0" t="s">
        <v>25</v>
      </c>
      <c r="H29" s="0" t="s">
        <v>16</v>
      </c>
      <c r="I29" s="0" t="s">
        <v>19</v>
      </c>
      <c r="J29" s="0" t="s">
        <v>16</v>
      </c>
      <c r="K29" s="0" t="n">
        <v>0</v>
      </c>
      <c r="L29" s="0" t="n">
        <v>4</v>
      </c>
      <c r="M29" s="0" t="s">
        <v>29</v>
      </c>
    </row>
    <row r="30" customFormat="false" ht="15" hidden="false" customHeight="false" outlineLevel="0" collapsed="false">
      <c r="A30" s="0" t="n">
        <v>27</v>
      </c>
      <c r="B30" s="0" t="n">
        <v>2025</v>
      </c>
      <c r="C30" s="0" t="s">
        <v>72</v>
      </c>
      <c r="D30" s="0" t="s">
        <v>33</v>
      </c>
      <c r="E30" s="0" t="s">
        <v>15</v>
      </c>
      <c r="F30" s="0" t="s">
        <v>34</v>
      </c>
      <c r="G30" s="0" t="s">
        <v>35</v>
      </c>
      <c r="H30" s="0" t="s">
        <v>15</v>
      </c>
      <c r="I30" s="0" t="s">
        <v>26</v>
      </c>
      <c r="J30" s="0" t="s">
        <v>33</v>
      </c>
      <c r="K30" s="0" t="n">
        <v>0</v>
      </c>
      <c r="L30" s="0" t="n">
        <v>1</v>
      </c>
      <c r="M30" s="0" t="s">
        <v>46</v>
      </c>
    </row>
    <row r="31" customFormat="false" ht="15" hidden="false" customHeight="false" outlineLevel="0" collapsed="false">
      <c r="A31" s="0" t="n">
        <v>28</v>
      </c>
      <c r="B31" s="0" t="n">
        <v>2025</v>
      </c>
      <c r="C31" s="0" t="s">
        <v>73</v>
      </c>
      <c r="D31" s="0" t="s">
        <v>22</v>
      </c>
      <c r="E31" s="0" t="s">
        <v>15</v>
      </c>
      <c r="F31" s="0" t="s">
        <v>24</v>
      </c>
      <c r="G31" s="0" t="s">
        <v>25</v>
      </c>
      <c r="H31" s="0" t="s">
        <v>22</v>
      </c>
      <c r="I31" s="0" t="s">
        <v>26</v>
      </c>
      <c r="J31" s="0" t="s">
        <v>15</v>
      </c>
      <c r="K31" s="0" t="n">
        <v>20</v>
      </c>
      <c r="L31" s="0" t="n">
        <v>0</v>
      </c>
      <c r="M31" s="0" t="s">
        <v>70</v>
      </c>
    </row>
    <row r="32" customFormat="false" ht="15" hidden="false" customHeight="false" outlineLevel="0" collapsed="false">
      <c r="A32" s="0" t="n">
        <v>29</v>
      </c>
      <c r="B32" s="0" t="n">
        <v>2025</v>
      </c>
      <c r="C32" s="0" t="s">
        <v>74</v>
      </c>
      <c r="D32" s="0" t="s">
        <v>33</v>
      </c>
      <c r="E32" s="0" t="s">
        <v>16</v>
      </c>
      <c r="F32" s="0" t="s">
        <v>34</v>
      </c>
      <c r="G32" s="0" t="s">
        <v>35</v>
      </c>
      <c r="H32" s="0" t="s">
        <v>16</v>
      </c>
      <c r="I32" s="0" t="s">
        <v>19</v>
      </c>
      <c r="J32" s="0" t="s">
        <v>33</v>
      </c>
      <c r="K32" s="0" t="n">
        <v>0</v>
      </c>
      <c r="L32" s="0" t="n">
        <v>8</v>
      </c>
      <c r="M32" s="0" t="s">
        <v>38</v>
      </c>
    </row>
    <row r="33" customFormat="false" ht="15" hidden="false" customHeight="false" outlineLevel="0" collapsed="false">
      <c r="A33" s="0" t="n">
        <v>30</v>
      </c>
      <c r="B33" s="0" t="n">
        <v>2025</v>
      </c>
      <c r="C33" s="0" t="s">
        <v>75</v>
      </c>
      <c r="D33" s="0" t="s">
        <v>33</v>
      </c>
      <c r="E33" s="0" t="s">
        <v>23</v>
      </c>
      <c r="F33" s="0" t="s">
        <v>34</v>
      </c>
      <c r="G33" s="0" t="s">
        <v>35</v>
      </c>
      <c r="H33" s="0" t="s">
        <v>23</v>
      </c>
      <c r="I33" s="0" t="s">
        <v>19</v>
      </c>
      <c r="J33" s="0" t="s">
        <v>33</v>
      </c>
      <c r="K33" s="0" t="n">
        <v>10</v>
      </c>
      <c r="L33" s="0" t="n">
        <v>0</v>
      </c>
      <c r="M33" s="0" t="s">
        <v>27</v>
      </c>
    </row>
    <row r="34" customFormat="false" ht="15" hidden="false" customHeight="false" outlineLevel="0" collapsed="false">
      <c r="A34" s="0" t="n">
        <v>31</v>
      </c>
      <c r="B34" s="0" t="n">
        <v>2025</v>
      </c>
      <c r="C34" s="0" t="s">
        <v>76</v>
      </c>
      <c r="D34" s="0" t="s">
        <v>22</v>
      </c>
      <c r="E34" s="0" t="s">
        <v>33</v>
      </c>
      <c r="F34" s="0" t="s">
        <v>24</v>
      </c>
      <c r="G34" s="0" t="s">
        <v>25</v>
      </c>
      <c r="H34" s="0" t="s">
        <v>22</v>
      </c>
      <c r="I34" s="0" t="s">
        <v>26</v>
      </c>
      <c r="J34" s="0" t="s">
        <v>22</v>
      </c>
      <c r="K34" s="0" t="n">
        <v>30</v>
      </c>
      <c r="L34" s="0" t="n">
        <v>0</v>
      </c>
      <c r="M34" s="0" t="s">
        <v>31</v>
      </c>
    </row>
    <row r="35" customFormat="false" ht="15" hidden="false" customHeight="false" outlineLevel="0" collapsed="false">
      <c r="A35" s="0" t="n">
        <v>32</v>
      </c>
      <c r="B35" s="0" t="n">
        <v>2025</v>
      </c>
      <c r="C35" s="0" t="s">
        <v>77</v>
      </c>
      <c r="D35" s="0" t="s">
        <v>16</v>
      </c>
      <c r="E35" s="0" t="s">
        <v>23</v>
      </c>
      <c r="F35" s="0" t="s">
        <v>40</v>
      </c>
      <c r="G35" s="0" t="s">
        <v>41</v>
      </c>
      <c r="H35" s="0" t="s">
        <v>23</v>
      </c>
      <c r="I35" s="0" t="s">
        <v>19</v>
      </c>
      <c r="J35" s="0" t="s">
        <v>23</v>
      </c>
      <c r="K35" s="0" t="n">
        <v>0</v>
      </c>
      <c r="L35" s="0" t="n">
        <v>8</v>
      </c>
      <c r="M35" s="0" t="s">
        <v>58</v>
      </c>
    </row>
    <row r="36" customFormat="false" ht="15" hidden="false" customHeight="false" outlineLevel="0" collapsed="false">
      <c r="A36" s="0" t="n">
        <v>33</v>
      </c>
      <c r="B36" s="0" t="n">
        <v>2025</v>
      </c>
      <c r="C36" s="0" t="s">
        <v>78</v>
      </c>
      <c r="D36" s="0" t="s">
        <v>22</v>
      </c>
      <c r="E36" s="0" t="s">
        <v>23</v>
      </c>
      <c r="F36" s="0" t="s">
        <v>24</v>
      </c>
      <c r="G36" s="0" t="s">
        <v>25</v>
      </c>
      <c r="H36" s="0" t="s">
        <v>23</v>
      </c>
      <c r="I36" s="0" t="s">
        <v>19</v>
      </c>
      <c r="J36" s="0" t="s">
        <v>22</v>
      </c>
      <c r="K36" s="0" t="n">
        <v>8</v>
      </c>
      <c r="L36" s="0" t="n">
        <v>0</v>
      </c>
      <c r="M36" s="0" t="s">
        <v>36</v>
      </c>
    </row>
    <row r="37" customFormat="false" ht="15" hidden="false" customHeight="false" outlineLevel="0" collapsed="false">
      <c r="A37" s="0" t="n">
        <v>34</v>
      </c>
      <c r="B37" s="0" t="n">
        <v>2025</v>
      </c>
      <c r="C37" s="0" t="s">
        <v>79</v>
      </c>
      <c r="D37" s="0" t="s">
        <v>15</v>
      </c>
      <c r="E37" s="0" t="s">
        <v>23</v>
      </c>
      <c r="F37" s="0" t="s">
        <v>17</v>
      </c>
      <c r="G37" s="0" t="s">
        <v>18</v>
      </c>
      <c r="H37" s="0" t="s">
        <v>23</v>
      </c>
      <c r="I37" s="0" t="s">
        <v>19</v>
      </c>
      <c r="J37" s="0" t="s">
        <v>15</v>
      </c>
      <c r="K37" s="0" t="n">
        <v>0</v>
      </c>
      <c r="L37" s="0" t="n">
        <v>3</v>
      </c>
      <c r="M37" s="0" t="s">
        <v>31</v>
      </c>
    </row>
    <row r="38" customFormat="false" ht="15" hidden="false" customHeight="false" outlineLevel="0" collapsed="false">
      <c r="A38" s="0" t="n">
        <v>35</v>
      </c>
      <c r="B38" s="0" t="n">
        <v>2025</v>
      </c>
      <c r="C38" s="0" t="s">
        <v>80</v>
      </c>
      <c r="D38" s="0" t="s">
        <v>15</v>
      </c>
      <c r="E38" s="0" t="s">
        <v>23</v>
      </c>
      <c r="F38" s="0" t="s">
        <v>17</v>
      </c>
      <c r="G38" s="0" t="s">
        <v>18</v>
      </c>
      <c r="H38" s="0" t="s">
        <v>15</v>
      </c>
      <c r="I38" s="0" t="s">
        <v>26</v>
      </c>
      <c r="J38" s="0" t="s">
        <v>15</v>
      </c>
      <c r="K38" s="0" t="n">
        <v>26</v>
      </c>
      <c r="L38" s="0" t="n">
        <v>0</v>
      </c>
      <c r="M38" s="0" t="s">
        <v>38</v>
      </c>
    </row>
    <row r="39" customFormat="false" ht="15" hidden="false" customHeight="false" outlineLevel="0" collapsed="false">
      <c r="A39" s="0" t="n">
        <v>36</v>
      </c>
      <c r="B39" s="0" t="n">
        <v>2025</v>
      </c>
      <c r="C39" s="0" t="s">
        <v>81</v>
      </c>
      <c r="D39" s="0" t="s">
        <v>22</v>
      </c>
      <c r="E39" s="0" t="s">
        <v>33</v>
      </c>
      <c r="F39" s="0" t="s">
        <v>24</v>
      </c>
      <c r="G39" s="0" t="s">
        <v>25</v>
      </c>
      <c r="H39" s="0" t="s">
        <v>22</v>
      </c>
      <c r="I39" s="0" t="s">
        <v>26</v>
      </c>
      <c r="J39" s="0" t="s">
        <v>22</v>
      </c>
      <c r="K39" s="0" t="n">
        <v>0</v>
      </c>
      <c r="L39" s="0" t="n">
        <v>6</v>
      </c>
      <c r="M39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  <c r="B3" s="2" t="s">
        <v>84</v>
      </c>
      <c r="C3" s="2" t="s">
        <v>85</v>
      </c>
      <c r="D3" s="2" t="s">
        <v>86</v>
      </c>
    </row>
    <row r="4" customFormat="false" ht="15" hidden="false" customHeight="false" outlineLevel="0" collapsed="false">
      <c r="A4" s="0" t="s">
        <v>33</v>
      </c>
      <c r="B4" s="0" t="n">
        <f aca="false">COUNTIF('Raw Data'!$J$4:$J$39,A4)</f>
        <v>7</v>
      </c>
      <c r="C4" s="0" t="n">
        <f aca="false">COUNTIF('Raw Data'!$D$4:$D$39,A4)+COUNTIF('Raw Data'!$E$4:$E$39,A4)</f>
        <v>15</v>
      </c>
      <c r="D4" s="3" t="n">
        <f aca="false">IFERROR(B4/C4,0)</f>
        <v>0.466666666666667</v>
      </c>
    </row>
    <row r="5" customFormat="false" ht="15" hidden="false" customHeight="false" outlineLevel="0" collapsed="false">
      <c r="A5" s="0" t="s">
        <v>23</v>
      </c>
      <c r="B5" s="0" t="n">
        <f aca="false">COUNTIF('Raw Data'!$J$4:$J$39,A5)</f>
        <v>4</v>
      </c>
      <c r="C5" s="0" t="n">
        <f aca="false">COUNTIF('Raw Data'!$D$4:$D$39,A5)+COUNTIF('Raw Data'!$E$4:$E$39,A5)</f>
        <v>14</v>
      </c>
      <c r="D5" s="3" t="n">
        <f aca="false">IFERROR(B5/C5,0)</f>
        <v>0.285714285714286</v>
      </c>
    </row>
    <row r="6" customFormat="false" ht="15" hidden="false" customHeight="false" outlineLevel="0" collapsed="false">
      <c r="A6" s="0" t="s">
        <v>22</v>
      </c>
      <c r="B6" s="0" t="n">
        <f aca="false">COUNTIF('Raw Data'!$J$4:$J$39,A6)</f>
        <v>10</v>
      </c>
      <c r="C6" s="0" t="n">
        <f aca="false">COUNTIF('Raw Data'!$D$4:$D$39,A6)+COUNTIF('Raw Data'!$E$4:$E$39,A6)</f>
        <v>15</v>
      </c>
      <c r="D6" s="3" t="n">
        <f aca="false">IFERROR(B6/C6,0)</f>
        <v>0.666666666666667</v>
      </c>
    </row>
    <row r="7" customFormat="false" ht="15" hidden="false" customHeight="false" outlineLevel="0" collapsed="false">
      <c r="A7" s="0" t="s">
        <v>15</v>
      </c>
      <c r="B7" s="0" t="n">
        <f aca="false">COUNTIF('Raw Data'!$J$4:$J$39,A7)</f>
        <v>9</v>
      </c>
      <c r="C7" s="0" t="n">
        <f aca="false">COUNTIF('Raw Data'!$D$4:$D$39,A7)+COUNTIF('Raw Data'!$E$4:$E$39,A7)</f>
        <v>15</v>
      </c>
      <c r="D7" s="3" t="n">
        <f aca="false">IFERROR(B7/C7,0)</f>
        <v>0.6</v>
      </c>
    </row>
    <row r="8" customFormat="false" ht="15" hidden="false" customHeight="false" outlineLevel="0" collapsed="false">
      <c r="A8" s="0" t="s">
        <v>16</v>
      </c>
      <c r="B8" s="0" t="n">
        <f aca="false">COUNTIF('Raw Data'!$J$4:$J$39,A8)</f>
        <v>6</v>
      </c>
      <c r="C8" s="0" t="n">
        <f aca="false">COUNTIF('Raw Data'!$D$4:$D$39,A8)+COUNTIF('Raw Data'!$E$4:$E$39,A8)</f>
        <v>13</v>
      </c>
      <c r="D8" s="3" t="n">
        <f aca="false">IFERROR(B8/C8,0)</f>
        <v>0.461538461538462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</cols>
  <sheetData>
    <row r="1" customFormat="false" ht="17.35" hidden="false" customHeight="false" outlineLevel="0" collapsed="false">
      <c r="A1" s="1" t="s">
        <v>87</v>
      </c>
    </row>
    <row r="3" customFormat="false" ht="15" hidden="false" customHeight="false" outlineLevel="0" collapsed="false">
      <c r="A3" s="2" t="s">
        <v>88</v>
      </c>
      <c r="B3" s="2" t="s">
        <v>89</v>
      </c>
    </row>
    <row r="4" customFormat="false" ht="15" hidden="false" customHeight="false" outlineLevel="0" collapsed="false">
      <c r="A4" s="0" t="s">
        <v>90</v>
      </c>
      <c r="B4" s="0" t="n">
        <f aca="false">SUMPRODUCT(--('Raw Data'!$H$4:$H$39='Raw Data'!$J$4:$J$39))</f>
        <v>17</v>
      </c>
    </row>
    <row r="5" customFormat="false" ht="15" hidden="false" customHeight="false" outlineLevel="0" collapsed="false">
      <c r="A5" s="0" t="s">
        <v>91</v>
      </c>
      <c r="B5" s="0" t="n">
        <f aca="false">(39-3)-B4</f>
        <v>19</v>
      </c>
    </row>
    <row r="7" customFormat="false" ht="15" hidden="false" customHeight="false" outlineLevel="0" collapsed="false">
      <c r="A7" s="2" t="s">
        <v>92</v>
      </c>
      <c r="B7" s="2" t="s">
        <v>93</v>
      </c>
    </row>
    <row r="8" customFormat="false" ht="15" hidden="false" customHeight="false" outlineLevel="0" collapsed="false">
      <c r="A8" s="0" t="s">
        <v>19</v>
      </c>
      <c r="B8" s="0" t="n">
        <f aca="false">COUNTIF('Raw Data'!$I$4:$I$39,"bat")</f>
        <v>16</v>
      </c>
    </row>
    <row r="9" customFormat="false" ht="15" hidden="false" customHeight="false" outlineLevel="0" collapsed="false">
      <c r="A9" s="0" t="s">
        <v>26</v>
      </c>
      <c r="B9" s="0" t="n">
        <f aca="false">COUNTIF('Raw Data'!$I$4:$I$39,"field")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7.35" hidden="false" customHeight="false" outlineLevel="0" collapsed="false">
      <c r="A1" s="1" t="s">
        <v>94</v>
      </c>
    </row>
    <row r="3" customFormat="false" ht="15" hidden="false" customHeight="false" outlineLevel="0" collapsed="false">
      <c r="A3" s="2" t="s">
        <v>95</v>
      </c>
      <c r="B3" s="2" t="s">
        <v>85</v>
      </c>
    </row>
    <row r="4" customFormat="false" ht="15" hidden="false" customHeight="false" outlineLevel="0" collapsed="false">
      <c r="A4" s="0" t="n">
        <v>2023</v>
      </c>
      <c r="B4" s="0" t="n">
        <f aca="false">COUNTIF('Raw Data'!$B$4:$B$39,A4)</f>
        <v>12</v>
      </c>
    </row>
    <row r="5" customFormat="false" ht="15" hidden="false" customHeight="false" outlineLevel="0" collapsed="false">
      <c r="A5" s="0" t="n">
        <v>2024</v>
      </c>
      <c r="B5" s="0" t="n">
        <f aca="false">COUNTIF('Raw Data'!$B$4:$B$39,A5)</f>
        <v>12</v>
      </c>
    </row>
    <row r="6" customFormat="false" ht="15" hidden="false" customHeight="false" outlineLevel="0" collapsed="false">
      <c r="A6" s="0" t="n">
        <v>2025</v>
      </c>
      <c r="B6" s="0" t="n">
        <f aca="false">COUNTIF('Raw Data'!$B$4:$B$39,A6)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2" t="s">
        <v>97</v>
      </c>
      <c r="B3" s="2" t="s">
        <v>98</v>
      </c>
    </row>
    <row r="4" customFormat="false" ht="15" hidden="false" customHeight="false" outlineLevel="0" collapsed="false">
      <c r="A4" s="0" t="s">
        <v>34</v>
      </c>
      <c r="B4" s="0" t="n">
        <f aca="false">COUNTIF('Raw Data'!$F$4:$F$39,A4)</f>
        <v>9</v>
      </c>
    </row>
    <row r="5" customFormat="false" ht="15" hidden="false" customHeight="false" outlineLevel="0" collapsed="false">
      <c r="A5" s="0" t="s">
        <v>40</v>
      </c>
      <c r="B5" s="0" t="n">
        <f aca="false">COUNTIF('Raw Data'!$F$4:$F$39,A5)</f>
        <v>3</v>
      </c>
    </row>
    <row r="6" customFormat="false" ht="15" hidden="false" customHeight="false" outlineLevel="0" collapsed="false">
      <c r="A6" s="0" t="s">
        <v>24</v>
      </c>
      <c r="B6" s="0" t="n">
        <f aca="false">COUNTIF('Raw Data'!$F$4:$F$39,A6)</f>
        <v>15</v>
      </c>
    </row>
    <row r="7" customFormat="false" ht="15" hidden="false" customHeight="false" outlineLevel="0" collapsed="false">
      <c r="A7" s="0" t="s">
        <v>17</v>
      </c>
      <c r="B7" s="0" t="n">
        <f aca="false">COUNTIF('Raw Data'!$F$4:$F$39,A7)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99</v>
      </c>
    </row>
    <row r="3" customFormat="false" ht="60" hidden="false" customHeight="true" outlineLevel="0" collapsed="false">
      <c r="A3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2026-07-26T15:13:32Z</dcterms:created>
  <dc:creator>openpyxl</dc:creator>
  <dc:description/>
  <dc:language>en-US</dc:language>
  <cp:lastModifiedBy/>
  <dcterms:modified xsi:type="dcterms:W3CDTF">2026-07-26T15:13:34Z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